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9e1ec09439faba7/E_PUC_ANALISE_DESENVOLVIMENTO_SISTEMAS/3 - PUC ESTATISTICA/Analise de Dados/"/>
    </mc:Choice>
  </mc:AlternateContent>
  <xr:revisionPtr revIDLastSave="232" documentId="8_{2AF9EB1F-6CAC-40C1-9368-78BA99A4051A}" xr6:coauthVersionLast="47" xr6:coauthVersionMax="47" xr10:uidLastSave="{AB2DB710-A82B-4A3B-85E5-E54B4514D95D}"/>
  <bookViews>
    <workbookView xWindow="25500" yWindow="0" windowWidth="13005" windowHeight="15585" xr2:uid="{F82208EA-BD22-430D-AB8D-E9F4BE1BE345}"/>
  </bookViews>
  <sheets>
    <sheet name="enap" sheetId="8" r:id="rId1"/>
    <sheet name="ANALISES" sheetId="1" r:id="rId2"/>
    <sheet name="9" sheetId="2" r:id="rId3"/>
    <sheet name="8" sheetId="3" r:id="rId4"/>
    <sheet name="6" sheetId="4" r:id="rId5"/>
    <sheet name="4" sheetId="5" r:id="rId6"/>
    <sheet name="3" sheetId="6" r:id="rId7"/>
    <sheet name="2" sheetId="7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8" l="1"/>
  <c r="A2" i="8"/>
  <c r="B32" i="2"/>
  <c r="B31" i="2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1" i="2"/>
  <c r="F1" i="2"/>
  <c r="B7" i="3"/>
  <c r="B6" i="3"/>
  <c r="B2" i="3"/>
  <c r="B3" i="3"/>
  <c r="B4" i="3"/>
  <c r="B5" i="3"/>
  <c r="B1" i="3"/>
  <c r="E1" i="3"/>
  <c r="C16" i="4"/>
  <c r="C13" i="4"/>
  <c r="C4" i="4"/>
  <c r="C5" i="4"/>
  <c r="C6" i="4"/>
  <c r="C7" i="4"/>
  <c r="C8" i="4"/>
  <c r="C9" i="4"/>
  <c r="C10" i="4"/>
  <c r="C11" i="4"/>
  <c r="C12" i="4"/>
  <c r="C3" i="4"/>
  <c r="G3" i="4"/>
  <c r="B6" i="6"/>
  <c r="B2" i="6"/>
  <c r="B3" i="6"/>
  <c r="B4" i="6"/>
  <c r="B5" i="6"/>
  <c r="B1" i="6"/>
  <c r="F1" i="6"/>
  <c r="H4" i="7"/>
  <c r="H5" i="7"/>
  <c r="H3" i="7"/>
  <c r="G4" i="7"/>
  <c r="G5" i="7"/>
  <c r="G3" i="7"/>
  <c r="A8" i="6"/>
  <c r="C12" i="5"/>
  <c r="C11" i="5"/>
  <c r="C10" i="5"/>
  <c r="B18" i="4"/>
  <c r="A10" i="3"/>
  <c r="D32" i="2"/>
  <c r="B21" i="1"/>
  <c r="B22" i="1" s="1"/>
  <c r="B34" i="1"/>
  <c r="B35" i="1" s="1"/>
  <c r="B33" i="1"/>
  <c r="B32" i="1"/>
  <c r="B20" i="1"/>
  <c r="B19" i="1"/>
  <c r="B18" i="1"/>
  <c r="F3" i="1"/>
  <c r="F4" i="1"/>
  <c r="F5" i="1"/>
  <c r="F6" i="1"/>
  <c r="F7" i="1"/>
  <c r="F2" i="1"/>
</calcChain>
</file>

<file path=xl/sharedStrings.xml><?xml version="1.0" encoding="utf-8"?>
<sst xmlns="http://schemas.openxmlformats.org/spreadsheetml/2006/main" count="84" uniqueCount="67">
  <si>
    <t>CLASSE</t>
  </si>
  <si>
    <t>LI</t>
  </si>
  <si>
    <t>LS</t>
  </si>
  <si>
    <t>fa</t>
  </si>
  <si>
    <t>fr</t>
  </si>
  <si>
    <t>1°</t>
  </si>
  <si>
    <t>2°</t>
  </si>
  <si>
    <t>3°</t>
  </si>
  <si>
    <t>4°</t>
  </si>
  <si>
    <t>5°</t>
  </si>
  <si>
    <t>6°</t>
  </si>
  <si>
    <t>Total</t>
  </si>
  <si>
    <t>AMPLITUDE</t>
  </si>
  <si>
    <t>Mês</t>
  </si>
  <si>
    <t>7°</t>
  </si>
  <si>
    <t>8°</t>
  </si>
  <si>
    <t>9°</t>
  </si>
  <si>
    <t>10°</t>
  </si>
  <si>
    <t>População Assistida</t>
  </si>
  <si>
    <t>media</t>
  </si>
  <si>
    <t>mediana</t>
  </si>
  <si>
    <t>mode</t>
  </si>
  <si>
    <t>desvio</t>
  </si>
  <si>
    <t>Mês/2012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</si>
  <si>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</si>
  <si>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</si>
  <si>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</si>
  <si>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</si>
  <si>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</si>
  <si>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</si>
  <si>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</si>
  <si>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</si>
  <si>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</si>
  <si>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</si>
  <si>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</si>
  <si>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</si>
  <si>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Variação INPC 12 meses - IBGE (%)</t>
  </si>
  <si>
    <t>desvio padrao</t>
  </si>
  <si>
    <t>CV</t>
  </si>
  <si>
    <t>Claro! Aqui está o conteúdo da imagem convertido em uma tabela:</t>
  </si>
  <si>
    <t>Estudante</t>
  </si>
  <si>
    <t>Horas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</si>
  <si>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</si>
  <si>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</si>
  <si>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</si>
  <si>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</si>
  <si>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</si>
  <si>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</si>
  <si>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</si>
  <si>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</si>
  <si>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</si>
  <si>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</si>
  <si>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min</t>
  </si>
  <si>
    <t>max</t>
  </si>
  <si>
    <t>Aluno</t>
  </si>
  <si>
    <t>1ª Prova</t>
  </si>
  <si>
    <t>2ª Prova</t>
  </si>
  <si>
    <t>3ª Prova</t>
  </si>
  <si>
    <t>4ª Prova</t>
  </si>
  <si>
    <t>5ª Prova</t>
  </si>
  <si>
    <t>X</t>
  </si>
  <si>
    <t>Y</t>
  </si>
  <si>
    <t>Z</t>
  </si>
  <si>
    <t>MEDIA</t>
  </si>
  <si>
    <t>var</t>
  </si>
  <si>
    <t>varianca</t>
  </si>
  <si>
    <t>dpa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</si>
</sst>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1A1E"/>
      <name val="Arial"/>
      <family val="2"/>
    </font>
    <font>
      <sz val="11"/>
      <color theme="1"/>
      <name val="Arial"/>
      <family val="2"/>
    </font>
    <font>
      <sz val="12"/>
      <color rgb="FF1B1C1D"/>
      <name val="Arial"/>
      <family val="2"/>
    </font>
    <font>
      <sz val="11"/>
      <color rgb="FF1B1C1D"/>
      <name val="Arial"/>
      <family val="2"/>
    </font>
    <font>
      <b/>
      <sz val="11"/>
      <color rgb="FF1B1C1D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7F3F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8" fillId="33" borderId="0" xfId="0" applyFont="1" applyFill="1" applyAlignment="1">
      <alignment vertical="center" wrapText="1"/>
    </xf>
    <xf numFmtId="0" fontId="18" fillId="33" borderId="0" xfId="0" applyFont="1" applyFill="1" applyAlignment="1">
      <alignment vertical="center" wrapText="1"/>
    </xf>
    <xf numFmtId="0" fontId="18" fillId="33" borderId="0" xfId="0" applyFont="1" applyFill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0" fontId="19" fillId="0" borderId="0" xfId="0" applyFont="1" applyAlignment="1">
      <alignment horizontal="center" vertical="center" wrapText="1"/>
    </xf>
    <xf numFmtId="1" fontId="19" fillId="0" borderId="0" xfId="0" applyNumberFormat="1" applyFont="1" applyAlignment="1">
      <alignment horizontal="center" vertical="center" wrapText="1"/>
    </xf>
    <xf numFmtId="1" fontId="0" fillId="0" borderId="0" xfId="0" applyNumberFormat="1"/>
    <xf numFmtId="0" fontId="18" fillId="33" borderId="0" xfId="0" applyFont="1" applyFill="1" applyAlignment="1">
      <alignment horizontal="center" wrapText="1"/>
    </xf>
    <xf numFmtId="0" fontId="20" fillId="0" borderId="0" xfId="0" applyFont="1" applyAlignment="1">
      <alignment vertical="center" readingOrder="1"/>
    </xf>
    <xf numFmtId="0" fontId="22" fillId="0" borderId="10" xfId="0" applyFont="1" applyBorder="1" applyAlignment="1">
      <alignment horizontal="left" vertical="center" wrapText="1" indent="1" readingOrder="1"/>
    </xf>
    <xf numFmtId="0" fontId="21" fillId="0" borderId="10" xfId="0" applyFont="1" applyBorder="1" applyAlignment="1">
      <alignment horizontal="left" vertical="center" wrapText="1" indent="1" readingOrder="1"/>
    </xf>
    <xf numFmtId="0" fontId="22" fillId="0" borderId="11" xfId="0" applyFont="1" applyFill="1" applyBorder="1" applyAlignment="1">
      <alignment horizontal="left" vertical="center" wrapText="1" indent="1" readingOrder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B210D-25DE-40E6-BD05-0C1D16F5EB29}">
  <dimension ref="A1:A2"/>
  <sheetViews>
    <sheetView tabSelected="1" workbookViewId="0">
      <selection activeCell="A2" sqref="A2"/>
    </sheetView>
  </sheetViews>
  <sheetFormatPr defaultRowHeight="15" x14ac:dyDescent="0.25"/>
  <sheetData>
    <row r="1" spans="1:1" x14ac:dyDescent="0.25">
      <c r="A1">
        <f>(2/3)*(1/4)*(1/5)</f>
        <v>3.3333333333333333E-2</v>
      </c>
    </row>
    <row r="2" spans="1:1" x14ac:dyDescent="0.25">
      <c r="A2">
        <f>1-A1</f>
        <v>0.96666666666666667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74CF9-42AE-42DA-A2D2-86B0A6614D7F}">
  <dimension ref="A1:M35"/>
  <sheetViews>
    <sheetView topLeftCell="A6" zoomScale="85" zoomScaleNormal="85" workbookViewId="0">
      <selection activeCell="B32" sqref="B32"/>
    </sheetView>
  </sheetViews>
  <sheetFormatPr defaultRowHeight="15" x14ac:dyDescent="0.25"/>
  <sheetData>
    <row r="1" spans="1:11" ht="28.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12</v>
      </c>
    </row>
    <row r="2" spans="1:11" x14ac:dyDescent="0.25">
      <c r="A2" s="1" t="s">
        <v>5</v>
      </c>
      <c r="B2" s="1">
        <v>69.2</v>
      </c>
      <c r="C2" s="1">
        <v>94.8</v>
      </c>
      <c r="D2" s="1">
        <v>3</v>
      </c>
      <c r="E2" s="1">
        <v>7.4999999999999997E-2</v>
      </c>
      <c r="F2">
        <f>C2-B2</f>
        <v>25.599999999999994</v>
      </c>
    </row>
    <row r="3" spans="1:11" x14ac:dyDescent="0.25">
      <c r="A3" s="1" t="s">
        <v>6</v>
      </c>
      <c r="B3" s="1">
        <v>94.8</v>
      </c>
      <c r="C3" s="1">
        <v>120.4</v>
      </c>
      <c r="D3" s="1">
        <v>8</v>
      </c>
      <c r="E3" s="1">
        <v>0.2</v>
      </c>
      <c r="F3">
        <f t="shared" ref="F3:F7" si="0">C3-B3</f>
        <v>25.600000000000009</v>
      </c>
    </row>
    <row r="4" spans="1:11" x14ac:dyDescent="0.25">
      <c r="A4" s="1" t="s">
        <v>7</v>
      </c>
      <c r="B4" s="1">
        <v>120.4</v>
      </c>
      <c r="C4" s="1">
        <v>146</v>
      </c>
      <c r="D4" s="1">
        <v>16</v>
      </c>
      <c r="E4" s="1">
        <v>0.4</v>
      </c>
      <c r="F4">
        <f t="shared" si="0"/>
        <v>25.599999999999994</v>
      </c>
    </row>
    <row r="5" spans="1:11" x14ac:dyDescent="0.25">
      <c r="A5" s="1" t="s">
        <v>8</v>
      </c>
      <c r="B5" s="1">
        <v>146</v>
      </c>
      <c r="C5" s="1">
        <v>171.6</v>
      </c>
      <c r="D5" s="1">
        <v>7</v>
      </c>
      <c r="E5" s="1">
        <v>0.17499999999999999</v>
      </c>
      <c r="F5">
        <f t="shared" si="0"/>
        <v>25.599999999999994</v>
      </c>
    </row>
    <row r="6" spans="1:11" x14ac:dyDescent="0.25">
      <c r="A6" s="1" t="s">
        <v>9</v>
      </c>
      <c r="B6" s="1">
        <v>171.6</v>
      </c>
      <c r="C6" s="1">
        <v>197.2</v>
      </c>
      <c r="D6" s="1">
        <v>4</v>
      </c>
      <c r="E6" s="1">
        <v>0.1</v>
      </c>
      <c r="F6">
        <f t="shared" si="0"/>
        <v>25.599999999999994</v>
      </c>
    </row>
    <row r="7" spans="1:11" x14ac:dyDescent="0.25">
      <c r="A7" s="1" t="s">
        <v>10</v>
      </c>
      <c r="B7" s="1">
        <v>197.2</v>
      </c>
      <c r="C7" s="1">
        <v>222.8</v>
      </c>
      <c r="D7" s="1">
        <v>2</v>
      </c>
      <c r="E7" s="1">
        <v>0.05</v>
      </c>
      <c r="F7">
        <f t="shared" si="0"/>
        <v>25.600000000000023</v>
      </c>
    </row>
    <row r="8" spans="1:11" x14ac:dyDescent="0.25">
      <c r="A8" s="2" t="s">
        <v>11</v>
      </c>
      <c r="B8" s="2"/>
      <c r="C8" s="2"/>
      <c r="D8" s="1">
        <v>40</v>
      </c>
      <c r="E8" s="1">
        <v>1</v>
      </c>
    </row>
    <row r="12" spans="1:11" x14ac:dyDescent="0.25">
      <c r="A12" s="4" t="s">
        <v>13</v>
      </c>
      <c r="B12" s="6" t="s">
        <v>5</v>
      </c>
      <c r="C12" s="6" t="s">
        <v>6</v>
      </c>
      <c r="D12" s="6" t="s">
        <v>7</v>
      </c>
      <c r="E12" s="6" t="s">
        <v>8</v>
      </c>
      <c r="F12" s="6" t="s">
        <v>9</v>
      </c>
      <c r="G12" s="6" t="s">
        <v>10</v>
      </c>
      <c r="H12" s="6" t="s">
        <v>14</v>
      </c>
      <c r="I12" s="6" t="s">
        <v>15</v>
      </c>
      <c r="J12" s="6" t="s">
        <v>16</v>
      </c>
      <c r="K12" s="6" t="s">
        <v>17</v>
      </c>
    </row>
    <row r="13" spans="1:11" ht="57" x14ac:dyDescent="0.25">
      <c r="A13" s="4" t="s">
        <v>18</v>
      </c>
      <c r="B13" s="7">
        <v>100</v>
      </c>
      <c r="C13" s="7">
        <v>120</v>
      </c>
      <c r="D13" s="7">
        <v>140</v>
      </c>
      <c r="E13" s="7">
        <v>160</v>
      </c>
      <c r="F13" s="7">
        <v>200</v>
      </c>
      <c r="G13" s="7">
        <v>210</v>
      </c>
      <c r="H13" s="7">
        <v>450</v>
      </c>
      <c r="I13" s="7">
        <v>390</v>
      </c>
      <c r="J13" s="7">
        <v>230</v>
      </c>
      <c r="K13" s="7">
        <v>100</v>
      </c>
    </row>
    <row r="14" spans="1:11" x14ac:dyDescent="0.25">
      <c r="A14" s="5"/>
    </row>
    <row r="18" spans="1:13" x14ac:dyDescent="0.25">
      <c r="A18" t="s">
        <v>19</v>
      </c>
      <c r="B18">
        <f>SUM(B13:K13)/10</f>
        <v>210</v>
      </c>
    </row>
    <row r="19" spans="1:13" x14ac:dyDescent="0.25">
      <c r="A19" t="s">
        <v>20</v>
      </c>
      <c r="B19" s="8">
        <f>MEDIAN(B13,C13,D13,E13,F13,G13,H13,I13,J13,K13)</f>
        <v>180</v>
      </c>
    </row>
    <row r="20" spans="1:13" x14ac:dyDescent="0.25">
      <c r="A20" t="s">
        <v>21</v>
      </c>
      <c r="B20" s="8">
        <f>_xlfn.MODE.SNGL(B13:K13)</f>
        <v>100</v>
      </c>
    </row>
    <row r="21" spans="1:13" x14ac:dyDescent="0.25">
      <c r="A21" t="s">
        <v>22</v>
      </c>
      <c r="B21">
        <f>_xlfn.STDEV.S(B13:K13)</f>
        <v>120.27745701779143</v>
      </c>
    </row>
    <row r="22" spans="1:13" x14ac:dyDescent="0.25">
      <c r="B22">
        <f>B21/B18</f>
        <v>0.57274979532281634</v>
      </c>
    </row>
    <row r="27" spans="1:13" ht="29.25" x14ac:dyDescent="0.25">
      <c r="A27" s="9" t="s">
        <v>23</v>
      </c>
      <c r="B27" s="9" t="s">
        <v>24</v>
      </c>
      <c r="C27" s="9" t="s">
        <v>25</v>
      </c>
      <c r="D27" s="9" t="s">
        <v>26</v>
      </c>
      <c r="E27" s="9" t="s">
        <v>27</v>
      </c>
      <c r="F27" s="9" t="s">
        <v>28</v>
      </c>
      <c r="G27" s="9" t="s">
        <v>29</v>
      </c>
      <c r="H27" s="9" t="s">
        <v>30</v>
      </c>
      <c r="I27" s="9" t="s">
        <v>31</v>
      </c>
      <c r="J27" s="9" t="s">
        <v>32</v>
      </c>
      <c r="K27" s="9" t="s">
        <v>33</v>
      </c>
      <c r="L27" s="9" t="s">
        <v>34</v>
      </c>
      <c r="M27" s="9" t="s">
        <v>35</v>
      </c>
    </row>
    <row r="28" spans="1:13" ht="72" x14ac:dyDescent="0.25">
      <c r="A28" s="9" t="s">
        <v>36</v>
      </c>
      <c r="B28" s="9">
        <v>5.63</v>
      </c>
      <c r="C28" s="9">
        <v>5.47</v>
      </c>
      <c r="D28" s="9">
        <v>4.97</v>
      </c>
      <c r="E28" s="9">
        <v>4.84</v>
      </c>
      <c r="F28" s="9">
        <v>4.8600000000000003</v>
      </c>
      <c r="G28" s="9">
        <v>4.9000000000000004</v>
      </c>
      <c r="H28" s="9">
        <v>5.36</v>
      </c>
      <c r="I28" s="9">
        <v>5.39</v>
      </c>
      <c r="J28" s="9">
        <v>5.58</v>
      </c>
      <c r="K28" s="9">
        <v>5.99</v>
      </c>
      <c r="L28" s="9">
        <v>5.95</v>
      </c>
      <c r="M28" s="9">
        <v>6.2</v>
      </c>
    </row>
    <row r="32" spans="1:13" x14ac:dyDescent="0.25">
      <c r="A32" t="s">
        <v>19</v>
      </c>
      <c r="B32">
        <f>AVERAGE(B28:M28)</f>
        <v>5.4283333333333337</v>
      </c>
    </row>
    <row r="33" spans="1:2" x14ac:dyDescent="0.25">
      <c r="A33" t="s">
        <v>20</v>
      </c>
      <c r="B33">
        <f>MEDIAN(B28,C28,D28,E28,F28,G28,H28,I28,J28,K28,L28,M28)</f>
        <v>5.43</v>
      </c>
    </row>
    <row r="34" spans="1:2" x14ac:dyDescent="0.25">
      <c r="A34" t="s">
        <v>37</v>
      </c>
      <c r="B34">
        <f>_xlfn.STDEV.S(B28:M28)</f>
        <v>0.46835948379487957</v>
      </c>
    </row>
    <row r="35" spans="1:2" x14ac:dyDescent="0.25">
      <c r="A35" t="s">
        <v>38</v>
      </c>
      <c r="B35">
        <f>(B34/B32)*100</f>
        <v>8.6280531248672929</v>
      </c>
    </row>
  </sheetData>
  <mergeCells count="1">
    <mergeCell ref="A8:C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029B0-D42E-483A-A8EE-0F93F3AC9D8F}">
  <dimension ref="A1:F32"/>
  <sheetViews>
    <sheetView workbookViewId="0">
      <selection activeCell="B32" sqref="B32"/>
    </sheetView>
  </sheetViews>
  <sheetFormatPr defaultRowHeight="15" x14ac:dyDescent="0.25"/>
  <sheetData>
    <row r="1" spans="1:6" x14ac:dyDescent="0.25">
      <c r="A1">
        <v>119</v>
      </c>
      <c r="B1">
        <f>POWER((A1-$F$1),2)</f>
        <v>16</v>
      </c>
      <c r="E1" t="s">
        <v>19</v>
      </c>
      <c r="F1">
        <f>SUM(A1:A30)/30</f>
        <v>123</v>
      </c>
    </row>
    <row r="2" spans="1:6" x14ac:dyDescent="0.25">
      <c r="A2">
        <v>118</v>
      </c>
      <c r="B2">
        <f t="shared" ref="B2:B30" si="0">POWER((A2-$F$1),2)</f>
        <v>25</v>
      </c>
    </row>
    <row r="3" spans="1:6" x14ac:dyDescent="0.25">
      <c r="A3">
        <v>125</v>
      </c>
      <c r="B3">
        <f t="shared" si="0"/>
        <v>4</v>
      </c>
    </row>
    <row r="4" spans="1:6" x14ac:dyDescent="0.25">
      <c r="A4">
        <v>115</v>
      </c>
      <c r="B4">
        <f t="shared" si="0"/>
        <v>64</v>
      </c>
    </row>
    <row r="5" spans="1:6" x14ac:dyDescent="0.25">
      <c r="A5">
        <v>107</v>
      </c>
      <c r="B5">
        <f t="shared" si="0"/>
        <v>256</v>
      </c>
    </row>
    <row r="6" spans="1:6" x14ac:dyDescent="0.25">
      <c r="A6">
        <v>128</v>
      </c>
      <c r="B6">
        <f t="shared" si="0"/>
        <v>25</v>
      </c>
    </row>
    <row r="7" spans="1:6" x14ac:dyDescent="0.25">
      <c r="A7">
        <v>133</v>
      </c>
      <c r="B7">
        <f t="shared" si="0"/>
        <v>100</v>
      </c>
    </row>
    <row r="8" spans="1:6" x14ac:dyDescent="0.25">
      <c r="A8">
        <v>133</v>
      </c>
      <c r="B8">
        <f t="shared" si="0"/>
        <v>100</v>
      </c>
    </row>
    <row r="9" spans="1:6" x14ac:dyDescent="0.25">
      <c r="A9">
        <v>121</v>
      </c>
      <c r="B9">
        <f t="shared" si="0"/>
        <v>4</v>
      </c>
    </row>
    <row r="10" spans="1:6" x14ac:dyDescent="0.25">
      <c r="A10">
        <v>101</v>
      </c>
      <c r="B10">
        <f t="shared" si="0"/>
        <v>484</v>
      </c>
    </row>
    <row r="11" spans="1:6" x14ac:dyDescent="0.25">
      <c r="A11">
        <v>118</v>
      </c>
      <c r="B11">
        <f t="shared" si="0"/>
        <v>25</v>
      </c>
    </row>
    <row r="12" spans="1:6" x14ac:dyDescent="0.25">
      <c r="A12">
        <v>143</v>
      </c>
      <c r="B12">
        <f t="shared" si="0"/>
        <v>400</v>
      </c>
    </row>
    <row r="13" spans="1:6" x14ac:dyDescent="0.25">
      <c r="A13">
        <v>126</v>
      </c>
      <c r="B13">
        <f t="shared" si="0"/>
        <v>9</v>
      </c>
    </row>
    <row r="14" spans="1:6" x14ac:dyDescent="0.25">
      <c r="A14">
        <v>117</v>
      </c>
      <c r="B14">
        <f t="shared" si="0"/>
        <v>36</v>
      </c>
    </row>
    <row r="15" spans="1:6" x14ac:dyDescent="0.25">
      <c r="A15">
        <v>141</v>
      </c>
      <c r="B15">
        <f t="shared" si="0"/>
        <v>324</v>
      </c>
    </row>
    <row r="16" spans="1:6" x14ac:dyDescent="0.25">
      <c r="A16">
        <v>109</v>
      </c>
      <c r="B16">
        <f t="shared" si="0"/>
        <v>196</v>
      </c>
    </row>
    <row r="17" spans="1:4" x14ac:dyDescent="0.25">
      <c r="A17">
        <v>135</v>
      </c>
      <c r="B17">
        <f t="shared" si="0"/>
        <v>144</v>
      </c>
    </row>
    <row r="18" spans="1:4" x14ac:dyDescent="0.25">
      <c r="A18">
        <v>115</v>
      </c>
      <c r="B18">
        <f t="shared" si="0"/>
        <v>64</v>
      </c>
    </row>
    <row r="19" spans="1:4" x14ac:dyDescent="0.25">
      <c r="A19">
        <v>115</v>
      </c>
      <c r="B19">
        <f t="shared" si="0"/>
        <v>64</v>
      </c>
    </row>
    <row r="20" spans="1:4" x14ac:dyDescent="0.25">
      <c r="A20">
        <v>119</v>
      </c>
      <c r="B20">
        <f t="shared" si="0"/>
        <v>16</v>
      </c>
    </row>
    <row r="21" spans="1:4" x14ac:dyDescent="0.25">
      <c r="A21">
        <v>131</v>
      </c>
      <c r="B21">
        <f t="shared" si="0"/>
        <v>64</v>
      </c>
    </row>
    <row r="22" spans="1:4" x14ac:dyDescent="0.25">
      <c r="A22">
        <v>116</v>
      </c>
      <c r="B22">
        <f t="shared" si="0"/>
        <v>49</v>
      </c>
    </row>
    <row r="23" spans="1:4" x14ac:dyDescent="0.25">
      <c r="A23">
        <v>115</v>
      </c>
      <c r="B23">
        <f t="shared" si="0"/>
        <v>64</v>
      </c>
    </row>
    <row r="24" spans="1:4" x14ac:dyDescent="0.25">
      <c r="A24">
        <v>124</v>
      </c>
      <c r="B24">
        <f t="shared" si="0"/>
        <v>1</v>
      </c>
    </row>
    <row r="25" spans="1:4" x14ac:dyDescent="0.25">
      <c r="A25">
        <v>134</v>
      </c>
      <c r="B25">
        <f t="shared" si="0"/>
        <v>121</v>
      </c>
    </row>
    <row r="26" spans="1:4" x14ac:dyDescent="0.25">
      <c r="A26">
        <v>140</v>
      </c>
      <c r="B26">
        <f t="shared" si="0"/>
        <v>289</v>
      </c>
    </row>
    <row r="27" spans="1:4" x14ac:dyDescent="0.25">
      <c r="A27">
        <v>129</v>
      </c>
      <c r="B27">
        <f t="shared" si="0"/>
        <v>36</v>
      </c>
    </row>
    <row r="28" spans="1:4" x14ac:dyDescent="0.25">
      <c r="A28">
        <v>129</v>
      </c>
      <c r="B28">
        <f t="shared" si="0"/>
        <v>36</v>
      </c>
    </row>
    <row r="29" spans="1:4" x14ac:dyDescent="0.25">
      <c r="A29">
        <v>115</v>
      </c>
      <c r="B29">
        <f t="shared" si="0"/>
        <v>64</v>
      </c>
    </row>
    <row r="30" spans="1:4" x14ac:dyDescent="0.25">
      <c r="A30">
        <v>119</v>
      </c>
      <c r="B30">
        <f t="shared" si="0"/>
        <v>16</v>
      </c>
    </row>
    <row r="31" spans="1:4" x14ac:dyDescent="0.25">
      <c r="A31" t="s">
        <v>64</v>
      </c>
      <c r="B31">
        <f>SUM(B1:B30)/(30-1)</f>
        <v>106.75862068965517</v>
      </c>
    </row>
    <row r="32" spans="1:4" x14ac:dyDescent="0.25">
      <c r="A32" t="s">
        <v>66</v>
      </c>
      <c r="B32">
        <f>SQRT(B31)</f>
        <v>10.332406335876225</v>
      </c>
      <c r="C32" t="s">
        <v>22</v>
      </c>
      <c r="D32">
        <f>_xlfn.STDEV.S(A1:A30)</f>
        <v>10.332406335876225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8CCD2-9659-41E9-B980-8281C5D8E87F}">
  <dimension ref="A1:E10"/>
  <sheetViews>
    <sheetView workbookViewId="0">
      <selection activeCell="B7" sqref="B7"/>
    </sheetView>
  </sheetViews>
  <sheetFormatPr defaultRowHeight="15" x14ac:dyDescent="0.25"/>
  <sheetData>
    <row r="1" spans="1:5" x14ac:dyDescent="0.25">
      <c r="A1">
        <v>100</v>
      </c>
      <c r="B1">
        <f>POWER((A1-$E$1),2)</f>
        <v>0</v>
      </c>
      <c r="D1" t="s">
        <v>19</v>
      </c>
      <c r="E1">
        <f>SUM(A1:A5)/5</f>
        <v>100</v>
      </c>
    </row>
    <row r="2" spans="1:5" x14ac:dyDescent="0.25">
      <c r="A2">
        <v>88</v>
      </c>
      <c r="B2">
        <f t="shared" ref="B2:B5" si="0">POWER((A2-$E$1),2)</f>
        <v>144</v>
      </c>
    </row>
    <row r="3" spans="1:5" x14ac:dyDescent="0.25">
      <c r="A3">
        <v>112</v>
      </c>
      <c r="B3">
        <f t="shared" si="0"/>
        <v>144</v>
      </c>
    </row>
    <row r="4" spans="1:5" x14ac:dyDescent="0.25">
      <c r="A4">
        <v>94</v>
      </c>
      <c r="B4">
        <f t="shared" si="0"/>
        <v>36</v>
      </c>
    </row>
    <row r="5" spans="1:5" x14ac:dyDescent="0.25">
      <c r="A5">
        <v>106</v>
      </c>
      <c r="B5">
        <f t="shared" si="0"/>
        <v>36</v>
      </c>
    </row>
    <row r="6" spans="1:5" x14ac:dyDescent="0.25">
      <c r="A6" t="s">
        <v>65</v>
      </c>
      <c r="B6">
        <f>SUM(B1:B5)/5</f>
        <v>72</v>
      </c>
    </row>
    <row r="7" spans="1:5" x14ac:dyDescent="0.25">
      <c r="B7">
        <f>SQRT(B6)</f>
        <v>8.4852813742385695</v>
      </c>
    </row>
    <row r="10" spans="1:5" x14ac:dyDescent="0.25">
      <c r="A10">
        <f>_xlfn.STDEV.P(A1:A5)</f>
        <v>8.4852813742385695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998BA-8685-4711-830B-98ADAABB1C1B}">
  <dimension ref="A1:G18"/>
  <sheetViews>
    <sheetView workbookViewId="0">
      <selection activeCell="C16" sqref="C16"/>
    </sheetView>
  </sheetViews>
  <sheetFormatPr defaultRowHeight="15" x14ac:dyDescent="0.25"/>
  <sheetData>
    <row r="1" spans="1:7" ht="15.75" thickBot="1" x14ac:dyDescent="0.3">
      <c r="A1" s="10" t="s">
        <v>39</v>
      </c>
    </row>
    <row r="2" spans="1:7" ht="30.75" thickBot="1" x14ac:dyDescent="0.3">
      <c r="A2" s="11" t="s">
        <v>40</v>
      </c>
      <c r="B2" s="11" t="s">
        <v>41</v>
      </c>
    </row>
    <row r="3" spans="1:7" ht="15.75" thickBot="1" x14ac:dyDescent="0.3">
      <c r="A3" s="12" t="s">
        <v>42</v>
      </c>
      <c r="B3" s="12">
        <v>4</v>
      </c>
      <c r="C3">
        <f>POWER((B3-$G$3),2)</f>
        <v>0.49000000000000027</v>
      </c>
      <c r="F3" t="s">
        <v>19</v>
      </c>
      <c r="G3">
        <f>SUM(B3:B12)/10</f>
        <v>4.7</v>
      </c>
    </row>
    <row r="4" spans="1:7" ht="15.75" thickBot="1" x14ac:dyDescent="0.3">
      <c r="A4" s="12" t="s">
        <v>43</v>
      </c>
      <c r="B4" s="12">
        <v>6</v>
      </c>
      <c r="C4">
        <f t="shared" ref="C4:C12" si="0">POWER((B4-$G$3),2)</f>
        <v>1.6899999999999995</v>
      </c>
    </row>
    <row r="5" spans="1:7" ht="15.75" thickBot="1" x14ac:dyDescent="0.3">
      <c r="A5" s="12" t="s">
        <v>44</v>
      </c>
      <c r="B5" s="12">
        <v>8</v>
      </c>
      <c r="C5">
        <f t="shared" si="0"/>
        <v>10.889999999999999</v>
      </c>
    </row>
    <row r="6" spans="1:7" ht="15.75" thickBot="1" x14ac:dyDescent="0.3">
      <c r="A6" s="12" t="s">
        <v>45</v>
      </c>
      <c r="B6" s="12">
        <v>2</v>
      </c>
      <c r="C6">
        <f t="shared" si="0"/>
        <v>7.2900000000000009</v>
      </c>
    </row>
    <row r="7" spans="1:7" ht="15.75" thickBot="1" x14ac:dyDescent="0.3">
      <c r="A7" s="12" t="s">
        <v>46</v>
      </c>
      <c r="B7" s="12">
        <v>3</v>
      </c>
      <c r="C7">
        <f t="shared" si="0"/>
        <v>2.8900000000000006</v>
      </c>
    </row>
    <row r="8" spans="1:7" ht="15.75" thickBot="1" x14ac:dyDescent="0.3">
      <c r="A8" s="12" t="s">
        <v>47</v>
      </c>
      <c r="B8" s="12">
        <v>4</v>
      </c>
      <c r="C8">
        <f t="shared" si="0"/>
        <v>0.49000000000000027</v>
      </c>
    </row>
    <row r="9" spans="1:7" ht="15.75" thickBot="1" x14ac:dyDescent="0.3">
      <c r="A9" s="12" t="s">
        <v>48</v>
      </c>
      <c r="B9" s="12">
        <v>6</v>
      </c>
      <c r="C9">
        <f t="shared" si="0"/>
        <v>1.6899999999999995</v>
      </c>
    </row>
    <row r="10" spans="1:7" ht="15.75" thickBot="1" x14ac:dyDescent="0.3">
      <c r="A10" s="12" t="s">
        <v>49</v>
      </c>
      <c r="B10" s="12">
        <v>5</v>
      </c>
      <c r="C10">
        <f t="shared" si="0"/>
        <v>8.99999999999999E-2</v>
      </c>
    </row>
    <row r="11" spans="1:7" ht="15.75" thickBot="1" x14ac:dyDescent="0.3">
      <c r="A11" s="12" t="s">
        <v>50</v>
      </c>
      <c r="B11" s="12">
        <v>6</v>
      </c>
      <c r="C11">
        <f t="shared" si="0"/>
        <v>1.6899999999999995</v>
      </c>
    </row>
    <row r="12" spans="1:7" ht="15.75" thickBot="1" x14ac:dyDescent="0.3">
      <c r="A12" s="12" t="s">
        <v>51</v>
      </c>
      <c r="B12" s="12">
        <v>3</v>
      </c>
      <c r="C12">
        <f t="shared" si="0"/>
        <v>2.8900000000000006</v>
      </c>
    </row>
    <row r="13" spans="1:7" x14ac:dyDescent="0.25">
      <c r="B13" t="s">
        <v>65</v>
      </c>
      <c r="C13">
        <f>SUM(C3:C12)/10</f>
        <v>3.0100000000000002</v>
      </c>
    </row>
    <row r="16" spans="1:7" x14ac:dyDescent="0.25">
      <c r="B16" t="s">
        <v>22</v>
      </c>
      <c r="C16">
        <f>SQRT(C13)</f>
        <v>1.7349351572897473</v>
      </c>
    </row>
    <row r="18" spans="2:2" x14ac:dyDescent="0.25">
      <c r="B18">
        <f>_xlfn.STDEV.P(B3:B12)</f>
        <v>1.7349351572897471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115B3-F8BD-4033-8005-ADF1A09F075A}">
  <dimension ref="A1:C38"/>
  <sheetViews>
    <sheetView workbookViewId="0">
      <selection activeCell="C13" sqref="C13"/>
    </sheetView>
  </sheetViews>
  <sheetFormatPr defaultRowHeight="15" x14ac:dyDescent="0.25"/>
  <sheetData>
    <row r="1" spans="1:3" x14ac:dyDescent="0.25">
      <c r="A1">
        <v>34</v>
      </c>
    </row>
    <row r="2" spans="1:3" x14ac:dyDescent="0.25">
      <c r="A2">
        <v>33</v>
      </c>
    </row>
    <row r="3" spans="1:3" x14ac:dyDescent="0.25">
      <c r="A3">
        <v>32</v>
      </c>
    </row>
    <row r="4" spans="1:3" x14ac:dyDescent="0.25">
      <c r="A4">
        <v>38</v>
      </c>
    </row>
    <row r="5" spans="1:3" x14ac:dyDescent="0.25">
      <c r="A5">
        <v>45</v>
      </c>
    </row>
    <row r="6" spans="1:3" x14ac:dyDescent="0.25">
      <c r="A6">
        <v>48</v>
      </c>
    </row>
    <row r="7" spans="1:3" x14ac:dyDescent="0.25">
      <c r="A7">
        <v>30</v>
      </c>
    </row>
    <row r="8" spans="1:3" x14ac:dyDescent="0.25">
      <c r="A8">
        <v>32</v>
      </c>
    </row>
    <row r="9" spans="1:3" x14ac:dyDescent="0.25">
      <c r="A9">
        <v>31</v>
      </c>
    </row>
    <row r="10" spans="1:3" x14ac:dyDescent="0.25">
      <c r="A10">
        <v>33</v>
      </c>
      <c r="B10" t="s">
        <v>52</v>
      </c>
      <c r="C10">
        <f>SMALL(A1:A38,1)</f>
        <v>30</v>
      </c>
    </row>
    <row r="11" spans="1:3" x14ac:dyDescent="0.25">
      <c r="A11">
        <v>44</v>
      </c>
      <c r="B11" t="s">
        <v>53</v>
      </c>
      <c r="C11">
        <f>LARGE(A1:A38,1)</f>
        <v>48</v>
      </c>
    </row>
    <row r="12" spans="1:3" x14ac:dyDescent="0.25">
      <c r="A12">
        <v>34</v>
      </c>
      <c r="C12">
        <f>C11-C10</f>
        <v>18</v>
      </c>
    </row>
    <row r="13" spans="1:3" x14ac:dyDescent="0.25">
      <c r="A13">
        <v>31</v>
      </c>
    </row>
    <row r="14" spans="1:3" x14ac:dyDescent="0.25">
      <c r="A14">
        <v>45</v>
      </c>
    </row>
    <row r="15" spans="1:3" x14ac:dyDescent="0.25">
      <c r="A15">
        <v>42</v>
      </c>
    </row>
    <row r="16" spans="1:3" x14ac:dyDescent="0.25">
      <c r="A16">
        <v>35</v>
      </c>
    </row>
    <row r="17" spans="1:1" x14ac:dyDescent="0.25">
      <c r="A17">
        <v>46</v>
      </c>
    </row>
    <row r="18" spans="1:1" x14ac:dyDescent="0.25">
      <c r="A18">
        <v>36</v>
      </c>
    </row>
    <row r="19" spans="1:1" x14ac:dyDescent="0.25">
      <c r="A19">
        <v>32</v>
      </c>
    </row>
    <row r="20" spans="1:1" x14ac:dyDescent="0.25">
      <c r="A20">
        <v>40</v>
      </c>
    </row>
    <row r="21" spans="1:1" x14ac:dyDescent="0.25">
      <c r="A21">
        <v>42</v>
      </c>
    </row>
    <row r="22" spans="1:1" x14ac:dyDescent="0.25">
      <c r="A22">
        <v>35</v>
      </c>
    </row>
    <row r="23" spans="1:1" x14ac:dyDescent="0.25">
      <c r="A23">
        <v>36</v>
      </c>
    </row>
    <row r="24" spans="1:1" x14ac:dyDescent="0.25">
      <c r="A24">
        <v>43</v>
      </c>
    </row>
    <row r="25" spans="1:1" x14ac:dyDescent="0.25">
      <c r="A25">
        <v>44</v>
      </c>
    </row>
    <row r="26" spans="1:1" x14ac:dyDescent="0.25">
      <c r="A26">
        <v>31</v>
      </c>
    </row>
    <row r="27" spans="1:1" x14ac:dyDescent="0.25">
      <c r="A27">
        <v>47</v>
      </c>
    </row>
    <row r="28" spans="1:1" x14ac:dyDescent="0.25">
      <c r="A28">
        <v>39</v>
      </c>
    </row>
    <row r="29" spans="1:1" x14ac:dyDescent="0.25">
      <c r="A29">
        <v>30</v>
      </c>
    </row>
    <row r="30" spans="1:1" x14ac:dyDescent="0.25">
      <c r="A30">
        <v>35</v>
      </c>
    </row>
    <row r="31" spans="1:1" x14ac:dyDescent="0.25">
      <c r="A31">
        <v>41</v>
      </c>
    </row>
    <row r="32" spans="1:1" x14ac:dyDescent="0.25">
      <c r="A32">
        <v>36</v>
      </c>
    </row>
    <row r="33" spans="1:1" x14ac:dyDescent="0.25">
      <c r="A33">
        <v>35</v>
      </c>
    </row>
    <row r="34" spans="1:1" x14ac:dyDescent="0.25">
      <c r="A34">
        <v>46</v>
      </c>
    </row>
    <row r="35" spans="1:1" x14ac:dyDescent="0.25">
      <c r="A35">
        <v>45</v>
      </c>
    </row>
    <row r="36" spans="1:1" x14ac:dyDescent="0.25">
      <c r="A36">
        <v>43</v>
      </c>
    </row>
    <row r="37" spans="1:1" x14ac:dyDescent="0.25">
      <c r="A37">
        <v>41</v>
      </c>
    </row>
    <row r="38" spans="1:1" x14ac:dyDescent="0.25">
      <c r="A38">
        <v>47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3F60D-0D8E-41BE-9ECB-86B20D9CB538}">
  <dimension ref="A1:F8"/>
  <sheetViews>
    <sheetView workbookViewId="0">
      <selection activeCell="A7" sqref="A7"/>
    </sheetView>
  </sheetViews>
  <sheetFormatPr defaultRowHeight="15" x14ac:dyDescent="0.25"/>
  <sheetData>
    <row r="1" spans="1:6" x14ac:dyDescent="0.25">
      <c r="A1">
        <v>18</v>
      </c>
      <c r="B1">
        <f>POWER((A1-$F$1),2)</f>
        <v>4</v>
      </c>
      <c r="E1" t="s">
        <v>63</v>
      </c>
      <c r="F1">
        <f>SUM(A1:A5)/5</f>
        <v>16</v>
      </c>
    </row>
    <row r="2" spans="1:6" x14ac:dyDescent="0.25">
      <c r="A2">
        <v>14</v>
      </c>
      <c r="B2">
        <f t="shared" ref="B2:B5" si="0">POWER((A2-$F$1),2)</f>
        <v>4</v>
      </c>
    </row>
    <row r="3" spans="1:6" x14ac:dyDescent="0.25">
      <c r="A3">
        <v>16</v>
      </c>
      <c r="B3">
        <f t="shared" si="0"/>
        <v>0</v>
      </c>
    </row>
    <row r="4" spans="1:6" x14ac:dyDescent="0.25">
      <c r="A4">
        <v>19</v>
      </c>
      <c r="B4">
        <f t="shared" si="0"/>
        <v>9</v>
      </c>
    </row>
    <row r="5" spans="1:6" x14ac:dyDescent="0.25">
      <c r="A5">
        <v>13</v>
      </c>
      <c r="B5">
        <f t="shared" si="0"/>
        <v>9</v>
      </c>
    </row>
    <row r="6" spans="1:6" x14ac:dyDescent="0.25">
      <c r="A6" t="s">
        <v>64</v>
      </c>
      <c r="B6">
        <f>SUM(B1:B5)/5</f>
        <v>5.2</v>
      </c>
    </row>
    <row r="8" spans="1:6" x14ac:dyDescent="0.25">
      <c r="A8">
        <f>_xlfn.VAR.P(A1:A5)</f>
        <v>5.2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CF4BE-863E-48A9-9934-A54E82AC9D72}">
  <dimension ref="A1:H5"/>
  <sheetViews>
    <sheetView workbookViewId="0">
      <selection activeCell="H3" sqref="H3:H5"/>
    </sheetView>
  </sheetViews>
  <sheetFormatPr defaultRowHeight="15" x14ac:dyDescent="0.25"/>
  <sheetData>
    <row r="1" spans="1:8" ht="15.75" thickBot="1" x14ac:dyDescent="0.3">
      <c r="A1" s="10" t="s">
        <v>39</v>
      </c>
    </row>
    <row r="2" spans="1:8" ht="30.75" thickBot="1" x14ac:dyDescent="0.3">
      <c r="A2" s="11" t="s">
        <v>54</v>
      </c>
      <c r="B2" s="11" t="s">
        <v>55</v>
      </c>
      <c r="C2" s="11" t="s">
        <v>56</v>
      </c>
      <c r="D2" s="11" t="s">
        <v>57</v>
      </c>
      <c r="E2" s="11" t="s">
        <v>58</v>
      </c>
      <c r="F2" s="11" t="s">
        <v>59</v>
      </c>
      <c r="G2" s="13" t="s">
        <v>63</v>
      </c>
    </row>
    <row r="3" spans="1:8" ht="15.75" thickBot="1" x14ac:dyDescent="0.3">
      <c r="A3" s="12" t="s">
        <v>60</v>
      </c>
      <c r="B3" s="12">
        <v>5</v>
      </c>
      <c r="C3" s="12">
        <v>5</v>
      </c>
      <c r="D3" s="12">
        <v>5</v>
      </c>
      <c r="E3" s="12">
        <v>10</v>
      </c>
      <c r="F3" s="12">
        <v>6</v>
      </c>
      <c r="G3">
        <f>AVERAGE(B3:F3)</f>
        <v>6.2</v>
      </c>
      <c r="H3">
        <f>(SUM(B3:F3)/5)</f>
        <v>6.2</v>
      </c>
    </row>
    <row r="4" spans="1:8" ht="15.75" thickBot="1" x14ac:dyDescent="0.3">
      <c r="A4" s="12" t="s">
        <v>61</v>
      </c>
      <c r="B4" s="12">
        <v>4</v>
      </c>
      <c r="C4" s="12">
        <v>9</v>
      </c>
      <c r="D4" s="12">
        <v>3</v>
      </c>
      <c r="E4" s="12">
        <v>9</v>
      </c>
      <c r="F4" s="12">
        <v>5</v>
      </c>
      <c r="G4">
        <f>AVERAGE(B4:F4)</f>
        <v>6</v>
      </c>
      <c r="H4">
        <f t="shared" ref="H4:H5" si="0">(SUM(B4:F4)/5)</f>
        <v>6</v>
      </c>
    </row>
    <row r="5" spans="1:8" ht="15.75" thickBot="1" x14ac:dyDescent="0.3">
      <c r="A5" s="12" t="s">
        <v>62</v>
      </c>
      <c r="B5" s="12">
        <v>5</v>
      </c>
      <c r="C5" s="12">
        <v>5</v>
      </c>
      <c r="D5" s="12">
        <v>8</v>
      </c>
      <c r="E5" s="12">
        <v>5</v>
      </c>
      <c r="F5" s="12">
        <v>6</v>
      </c>
      <c r="G5">
        <f t="shared" ref="G4:G5" si="1">AVERAGE(B5:F5)</f>
        <v>5.8</v>
      </c>
      <c r="H5">
        <f t="shared" si="0"/>
        <v>5.8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enap</vt:lpstr>
      <vt:lpstr>ANALISES</vt:lpstr>
      <vt:lpstr>9</vt:lpstr>
      <vt:lpstr>8</vt:lpstr>
      <vt:lpstr>6</vt:lpstr>
      <vt:lpstr>4</vt:lpstr>
      <vt:lpstr>3</vt:lpstr>
      <vt:lpstr>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HANDERSON GLEBER</cp:lastModifiedBy>
  <dcterms:created xsi:type="dcterms:W3CDTF">2025-05-10T08:10:26Z</dcterms:created>
  <dcterms:modified xsi:type="dcterms:W3CDTF">2025-05-10T11:12:40Z</dcterms:modified>
</cp:coreProperties>
</file>